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ntornosPython\Pos6\"/>
    </mc:Choice>
  </mc:AlternateContent>
  <xr:revisionPtr revIDLastSave="0" documentId="8_{AD70F943-4BB0-49B9-B54A-1D008E800015}" xr6:coauthVersionLast="47" xr6:coauthVersionMax="47" xr10:uidLastSave="{00000000-0000-0000-0000-000000000000}"/>
  <bookViews>
    <workbookView xWindow="-108" yWindow="-108" windowWidth="23256" windowHeight="12576" xr2:uid="{AF676DD8-61F4-4127-A48C-113DF67016D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5" i="1" l="1"/>
  <c r="O15" i="1"/>
  <c r="N15" i="1"/>
  <c r="N16" i="1"/>
  <c r="M16" i="1"/>
  <c r="L16" i="1"/>
</calcChain>
</file>

<file path=xl/sharedStrings.xml><?xml version="1.0" encoding="utf-8"?>
<sst xmlns="http://schemas.openxmlformats.org/spreadsheetml/2006/main" count="39" uniqueCount="36">
  <si>
    <t>ESTANCIAS</t>
  </si>
  <si>
    <t>CONSULTAS</t>
  </si>
  <si>
    <t>PROCEDIMIENTOS QX</t>
  </si>
  <si>
    <t>PROCEDIMIENTOS</t>
  </si>
  <si>
    <t>HONORARIOS</t>
  </si>
  <si>
    <t>MEDICAMENTOS</t>
  </si>
  <si>
    <t>AYUDAS DIAGNOSTICAS</t>
  </si>
  <si>
    <t>APOYO TERAPEUTICO</t>
  </si>
  <si>
    <t>DERECHOS DE SALA</t>
  </si>
  <si>
    <t>OXIGENO</t>
  </si>
  <si>
    <t>MATERIAL QX Y/O MATERIAL ESPEC</t>
  </si>
  <si>
    <t>HOJA DE GASTOS HEMODINAMIA</t>
  </si>
  <si>
    <t>HOJA DE GASTOS QX</t>
  </si>
  <si>
    <t>LABORATORIO</t>
  </si>
  <si>
    <t>BANCO DE SANGRE</t>
  </si>
  <si>
    <t>INSUMOS MEDICOS</t>
  </si>
  <si>
    <t>OTROS CONCEPTOS</t>
  </si>
  <si>
    <t>CONCEPTOS</t>
  </si>
  <si>
    <t>TIPOS SUMINISTROS</t>
  </si>
  <si>
    <t>DISPOSITIVOS MEDICOS</t>
  </si>
  <si>
    <t>SOLUCIONES</t>
  </si>
  <si>
    <t>MATERIAL DE SUTURA Y CURACION</t>
  </si>
  <si>
    <t>MATERIAL QX</t>
  </si>
  <si>
    <t>EQUOI MEDICO, PROTESIS, ORTESIS , AYUDAS FUCIONALES, AGENTES DE DX, INSUMOS OFO¿DONTOLOGICOS, MATERAL QX Y DE CURACION, PRODUCTOS HIGIENCIOS</t>
  </si>
  <si>
    <r>
      <t>Los </t>
    </r>
    <r>
      <rPr>
        <b/>
        <sz val="10"/>
        <color rgb="FF0A0A0A"/>
        <rFont val="Arial"/>
        <family val="2"/>
      </rPr>
      <t>suministros</t>
    </r>
    <r>
      <rPr>
        <sz val="10"/>
        <color rgb="FF0A0A0A"/>
        <rFont val="Arial"/>
        <family val="2"/>
      </rPr>
      <t> en salud se refieren a los materiales y equipos (como jeringas, guantes, etc.) necesarios para la atención médica. Las </t>
    </r>
    <r>
      <rPr>
        <b/>
        <sz val="10"/>
        <color rgb="FF0A0A0A"/>
        <rFont val="Arial"/>
        <family val="2"/>
      </rPr>
      <t>soluciones</t>
    </r>
    <r>
      <rPr>
        <sz val="10"/>
        <color rgb="FF0A0A0A"/>
        <rFont val="Arial"/>
        <family val="2"/>
      </rPr>
      <t> son líquidos estériles (como sueros) que se administran a los pacientes, a menudo por vía intravenosa. El </t>
    </r>
    <r>
      <rPr>
        <b/>
        <sz val="10"/>
        <color rgb="FF0A0A0A"/>
        <rFont val="Arial"/>
        <family val="2"/>
      </rPr>
      <t>oxígeno</t>
    </r>
    <r>
      <rPr>
        <sz val="10"/>
        <color rgb="FF0A0A0A"/>
        <rFont val="Arial"/>
        <family val="2"/>
      </rPr>
      <t> medicinal es un gas esencial que se utiliza como tratamiento suplementario para mejorar la respiración en pacientes con niveles bajos de oxígeno en sangre (hipoxia)</t>
    </r>
  </si>
  <si>
    <t>Ejemplos de dispositivos médicos</t>
  </si>
  <si>
    <r>
      <t>Básicos:</t>
    </r>
    <r>
      <rPr>
        <sz val="10"/>
        <color rgb="FF0A0A0A"/>
        <rFont val="Arial"/>
        <family val="2"/>
      </rPr>
      <t> Jeringas, vendas, guantes, depresores de lengua.</t>
    </r>
  </si>
  <si>
    <r>
      <t>Equipos de diagnóstico:</t>
    </r>
    <r>
      <rPr>
        <sz val="10"/>
        <color rgb="FF0A0A0A"/>
        <rFont val="Arial"/>
        <family val="2"/>
      </rPr>
      <t> Equipos de rayos X, ecógrafos, monitores de signos vitales.</t>
    </r>
  </si>
  <si>
    <r>
      <t>Implantes y prótesis:</t>
    </r>
    <r>
      <rPr>
        <sz val="10"/>
        <color rgb="FF0A0A0A"/>
        <rFont val="Arial"/>
        <family val="2"/>
      </rPr>
      <t> Marcapasos, válvulas cardíacas protésicas, prótesis dentales y mamarias.</t>
    </r>
  </si>
  <si>
    <r>
      <t>Software de apoyo:</t>
    </r>
    <r>
      <rPr>
        <sz val="10"/>
        <color rgb="FF0A0A0A"/>
        <rFont val="Arial"/>
        <family val="2"/>
      </rPr>
      <t> Aplicaciones móviles para la salud y equipos biomédicos que utilizan software.</t>
    </r>
  </si>
  <si>
    <r>
      <t>Instrumental quirúrgico:</t>
    </r>
    <r>
      <rPr>
        <sz val="10"/>
        <color rgb="FF0A0A0A"/>
        <rFont val="Arial"/>
        <family val="2"/>
      </rPr>
      <t> Equipos para cirugía, anestesia e instrumental relacionado. </t>
    </r>
  </si>
  <si>
    <r>
      <rPr>
        <b/>
        <sz val="11"/>
        <color rgb="FF00B050"/>
        <rFont val="Aptos Narrow"/>
        <family val="2"/>
        <scheme val="minor"/>
      </rPr>
      <t xml:space="preserve"> Tipos de materiales QX</t>
    </r>
    <r>
      <rPr>
        <sz val="11"/>
        <color theme="1"/>
        <rFont val="Aptos Narrow"/>
        <family val="2"/>
        <scheme val="minor"/>
      </rPr>
      <t xml:space="preserve">
Instrumental general: Pinzas, bisturíes, separadores, portaagujas y tijeras.
Materiales complementarios: Gasas, vendas, jeringas, suturas, grapas, sondas y guantes estériles.
Instrumentos de corte: Bisturíes y tijeras específicas para seccionar tejidos.
Instrumentos de precisión: Pinzas y otros elementos para manipular tejidos delicados.
Instrumentos de separación: Separadores para mantener la herida abierta y visible durante la cirugía. </t>
    </r>
  </si>
  <si>
    <t>Jeringas, vendas, guantes, depresores d elengua</t>
  </si>
  <si>
    <t>Gasas,Vendas, Pinzas, bistury, equipo de rayos x</t>
  </si>
  <si>
    <t>on mateirales qx</t>
  </si>
  <si>
    <t>Valor uvr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</si>
</sst>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rgb="FF0A0A0A"/>
      <name val="Arial"/>
      <family val="2"/>
    </font>
    <font>
      <b/>
      <sz val="10"/>
      <color rgb="FF0A0A0A"/>
      <name val="Arial"/>
      <family val="2"/>
    </font>
    <font>
      <sz val="12"/>
      <color rgb="FF0A0A0A"/>
      <name val="Arial"/>
      <family val="2"/>
    </font>
    <font>
      <b/>
      <sz val="11"/>
      <color rgb="FF00B05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 indent="1"/>
    </xf>
    <xf numFmtId="0" fontId="0" fillId="0" borderId="0" xfId="0" applyAlignment="1">
      <alignment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1310B-BFE0-4FA3-9B4A-80941D5AAC96}">
  <dimension ref="C2:O28"/>
  <sheetViews>
    <sheetView tabSelected="1" topLeftCell="B1" workbookViewId="0">
      <selection activeCell="B1" sqref="B1:P23"/>
    </sheetView>
  </sheetViews>
  <sheetFormatPr baseColWidth="10" defaultRowHeight="14.4" x14ac:dyDescent="0.3"/>
  <cols>
    <col min="4" max="4" width="25.6640625" customWidth="1"/>
    <col min="8" max="8" width="31.5546875" customWidth="1"/>
  </cols>
  <sheetData>
    <row r="2" spans="3:15" x14ac:dyDescent="0.3">
      <c r="D2" t="s">
        <v>17</v>
      </c>
      <c r="G2" t="s">
        <v>18</v>
      </c>
    </row>
    <row r="4" spans="3:15" x14ac:dyDescent="0.3">
      <c r="K4" s="1" t="s">
        <v>24</v>
      </c>
    </row>
    <row r="5" spans="3:15" x14ac:dyDescent="0.3">
      <c r="C5">
        <v>1</v>
      </c>
      <c r="D5" t="s">
        <v>0</v>
      </c>
      <c r="G5">
        <v>1</v>
      </c>
      <c r="H5" s="5" t="s">
        <v>5</v>
      </c>
      <c r="I5">
        <v>6</v>
      </c>
    </row>
    <row r="6" spans="3:15" x14ac:dyDescent="0.3">
      <c r="C6">
        <v>2</v>
      </c>
      <c r="D6" t="s">
        <v>1</v>
      </c>
      <c r="G6">
        <v>3</v>
      </c>
      <c r="H6" t="s">
        <v>19</v>
      </c>
      <c r="I6">
        <v>16</v>
      </c>
      <c r="J6" t="s">
        <v>32</v>
      </c>
    </row>
    <row r="7" spans="3:15" x14ac:dyDescent="0.3">
      <c r="C7">
        <v>3</v>
      </c>
      <c r="D7" t="s">
        <v>2</v>
      </c>
      <c r="G7">
        <v>5</v>
      </c>
      <c r="H7" t="s">
        <v>20</v>
      </c>
      <c r="I7">
        <v>6</v>
      </c>
    </row>
    <row r="8" spans="3:15" x14ac:dyDescent="0.3">
      <c r="C8">
        <v>4</v>
      </c>
      <c r="D8" t="s">
        <v>3</v>
      </c>
      <c r="G8">
        <v>6</v>
      </c>
      <c r="H8" t="s">
        <v>9</v>
      </c>
      <c r="I8">
        <v>10</v>
      </c>
    </row>
    <row r="9" spans="3:15" x14ac:dyDescent="0.3">
      <c r="C9">
        <v>5</v>
      </c>
      <c r="D9" t="s">
        <v>4</v>
      </c>
      <c r="G9">
        <v>4</v>
      </c>
      <c r="H9" t="s">
        <v>21</v>
      </c>
      <c r="I9">
        <v>11</v>
      </c>
      <c r="J9" t="s">
        <v>34</v>
      </c>
    </row>
    <row r="10" spans="3:15" x14ac:dyDescent="0.3">
      <c r="C10">
        <v>6</v>
      </c>
      <c r="D10" t="s">
        <v>5</v>
      </c>
      <c r="G10">
        <v>2</v>
      </c>
      <c r="H10" t="s">
        <v>15</v>
      </c>
      <c r="I10">
        <v>16</v>
      </c>
    </row>
    <row r="11" spans="3:15" x14ac:dyDescent="0.3">
      <c r="C11">
        <v>7</v>
      </c>
      <c r="D11" t="s">
        <v>6</v>
      </c>
      <c r="G11">
        <v>10</v>
      </c>
      <c r="H11" t="s">
        <v>22</v>
      </c>
      <c r="I11">
        <v>11</v>
      </c>
      <c r="J11" t="s">
        <v>33</v>
      </c>
    </row>
    <row r="12" spans="3:15" x14ac:dyDescent="0.3">
      <c r="C12">
        <v>8</v>
      </c>
      <c r="D12" t="s">
        <v>7</v>
      </c>
      <c r="J12" s="5"/>
    </row>
    <row r="13" spans="3:15" x14ac:dyDescent="0.3">
      <c r="C13">
        <v>9</v>
      </c>
      <c r="D13" t="s">
        <v>8</v>
      </c>
    </row>
    <row r="14" spans="3:15" x14ac:dyDescent="0.3">
      <c r="C14">
        <v>10</v>
      </c>
      <c r="D14" t="s">
        <v>9</v>
      </c>
    </row>
    <row r="15" spans="3:15" x14ac:dyDescent="0.3">
      <c r="C15">
        <v>11</v>
      </c>
      <c r="D15" t="s">
        <v>10</v>
      </c>
      <c r="K15" t="s">
        <v>35</v>
      </c>
      <c r="L15">
        <v>375.11410000000001</v>
      </c>
      <c r="M15">
        <f>31*360</f>
        <v>11160</v>
      </c>
      <c r="N15">
        <f>31*960</f>
        <v>29760</v>
      </c>
      <c r="O15">
        <f>31*1270</f>
        <v>39370</v>
      </c>
    </row>
    <row r="16" spans="3:15" x14ac:dyDescent="0.3">
      <c r="C16">
        <v>12</v>
      </c>
      <c r="D16" t="s">
        <v>11</v>
      </c>
      <c r="L16">
        <f>360*L15</f>
        <v>135041.076</v>
      </c>
      <c r="M16">
        <f>960*L15</f>
        <v>360109.53600000002</v>
      </c>
      <c r="N16">
        <f>1270*L15</f>
        <v>476394.90700000001</v>
      </c>
    </row>
    <row r="17" spans="3:9" x14ac:dyDescent="0.3">
      <c r="C17">
        <v>13</v>
      </c>
      <c r="D17" t="s">
        <v>12</v>
      </c>
    </row>
    <row r="18" spans="3:9" x14ac:dyDescent="0.3">
      <c r="C18">
        <v>14</v>
      </c>
      <c r="D18" t="s">
        <v>13</v>
      </c>
    </row>
    <row r="19" spans="3:9" x14ac:dyDescent="0.3">
      <c r="C19">
        <v>15</v>
      </c>
      <c r="D19" t="s">
        <v>14</v>
      </c>
    </row>
    <row r="20" spans="3:9" x14ac:dyDescent="0.3">
      <c r="C20">
        <v>16</v>
      </c>
      <c r="D20" t="s">
        <v>15</v>
      </c>
      <c r="E20" t="s">
        <v>23</v>
      </c>
    </row>
    <row r="21" spans="3:9" x14ac:dyDescent="0.3">
      <c r="C21">
        <v>17</v>
      </c>
      <c r="D21" t="s">
        <v>16</v>
      </c>
    </row>
    <row r="23" spans="3:9" ht="409.6" x14ac:dyDescent="0.3">
      <c r="G23" s="4" t="s">
        <v>31</v>
      </c>
      <c r="I23" s="2" t="s">
        <v>25</v>
      </c>
    </row>
    <row r="24" spans="3:9" ht="79.2" x14ac:dyDescent="0.3">
      <c r="I24" s="3" t="s">
        <v>26</v>
      </c>
    </row>
    <row r="25" spans="3:9" ht="118.8" x14ac:dyDescent="0.3">
      <c r="I25" s="3" t="s">
        <v>27</v>
      </c>
    </row>
    <row r="26" spans="3:9" ht="132" x14ac:dyDescent="0.3">
      <c r="I26" s="3" t="s">
        <v>28</v>
      </c>
    </row>
    <row r="27" spans="3:9" ht="145.19999999999999" x14ac:dyDescent="0.3">
      <c r="I27" s="3" t="s">
        <v>29</v>
      </c>
    </row>
    <row r="28" spans="3:9" ht="145.19999999999999" x14ac:dyDescent="0.3">
      <c r="I28" s="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Bernal Ferreira</dc:creator>
  <cp:lastModifiedBy>Alberto Bernal Ferreira</cp:lastModifiedBy>
  <dcterms:created xsi:type="dcterms:W3CDTF">2025-11-04T13:46:18Z</dcterms:created>
  <dcterms:modified xsi:type="dcterms:W3CDTF">2025-11-04T21:49:19Z</dcterms:modified>
</cp:coreProperties>
</file>